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Hexamatics Dropbox\HSSB Finance\HSSB 2025\HSSB_2025_PIR\"/>
    </mc:Choice>
  </mc:AlternateContent>
  <xr:revisionPtr revIDLastSave="0" documentId="13_ncr:1_{1D55AB4A-6E4F-42A4-A910-9DCAEA30A8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IR Check" sheetId="7" r:id="rId1"/>
  </sheets>
  <externalReferences>
    <externalReference r:id="rId2"/>
    <externalReference r:id="rId3"/>
  </externalReferences>
  <definedNames>
    <definedName name="_xlnm._FilterDatabase" localSheetId="0" hidden="1">'PIR Check'!$A$3:$N$26</definedName>
    <definedName name="BankCode">'[1]Bank Code'!$B$2:$B$116</definedName>
    <definedName name="_xlnm.Print_Area" localSheetId="0">'PIR Check'!$A$1:$J$26</definedName>
    <definedName name="_xlnm.Print_Titles" localSheetId="0">'PIR Check'!$3:$3</definedName>
    <definedName name="RentasPurposeCode">'[2]RENTAS Purpose Code'!$A$2:$A$195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7" l="1"/>
  <c r="G26" i="7"/>
  <c r="F26" i="7"/>
  <c r="G24" i="7"/>
  <c r="F24" i="7"/>
  <c r="G17" i="7"/>
  <c r="H17" i="7" s="1"/>
  <c r="G23" i="7" l="1"/>
  <c r="H23" i="7" s="1"/>
  <c r="F21" i="7" l="1"/>
  <c r="G20" i="7"/>
  <c r="H20" i="7" l="1"/>
  <c r="G21" i="7"/>
  <c r="H21" i="7" l="1"/>
  <c r="H24" i="7" s="1"/>
  <c r="F18" i="7" l="1"/>
  <c r="G16" i="7"/>
  <c r="H16" i="7" s="1"/>
  <c r="H18" i="7" s="1"/>
  <c r="G18" i="7" l="1"/>
  <c r="F14" i="7" l="1"/>
  <c r="G13" i="7"/>
  <c r="H13" i="7" s="1"/>
  <c r="H14" i="7" s="1"/>
  <c r="F11" i="7"/>
  <c r="G10" i="7"/>
  <c r="H10" i="7" s="1"/>
  <c r="H11" i="7" s="1"/>
  <c r="G14" i="7" l="1"/>
  <c r="G11" i="7"/>
  <c r="F8" i="7"/>
  <c r="F5" i="7" l="1"/>
  <c r="H4" i="7"/>
  <c r="G7" i="7" l="1"/>
  <c r="G8" i="7" l="1"/>
  <c r="H5" i="7"/>
  <c r="G5" i="7"/>
  <c r="H7" i="7" l="1"/>
  <c r="H8" i="7" l="1"/>
</calcChain>
</file>

<file path=xl/sharedStrings.xml><?xml version="1.0" encoding="utf-8"?>
<sst xmlns="http://schemas.openxmlformats.org/spreadsheetml/2006/main" count="68" uniqueCount="53">
  <si>
    <t>Beneficiary</t>
  </si>
  <si>
    <t>Expenses Description</t>
  </si>
  <si>
    <t>Payout Date</t>
  </si>
  <si>
    <t>Payout Nature</t>
  </si>
  <si>
    <t>Amount as per PIR</t>
  </si>
  <si>
    <t>Amount requested</t>
  </si>
  <si>
    <t>Type</t>
  </si>
  <si>
    <t>MY_PIR Summary</t>
  </si>
  <si>
    <t>Domestic Payment</t>
  </si>
  <si>
    <t>Remarks</t>
  </si>
  <si>
    <t>Total CSI</t>
  </si>
  <si>
    <t>Total Internal</t>
  </si>
  <si>
    <t>Total Overhead</t>
  </si>
  <si>
    <t>Grand Total</t>
  </si>
  <si>
    <t>Ali Ahmed Qureshi</t>
  </si>
  <si>
    <t>Xing Fengwei</t>
  </si>
  <si>
    <t>30/4/2025</t>
  </si>
  <si>
    <t>Payout Details of 30/04/2025</t>
  </si>
  <si>
    <t>Acclime_Xing Fengwei_0425</t>
  </si>
  <si>
    <t>Salary_Ali_0425</t>
  </si>
  <si>
    <t>Zoho Firstlink_Nepal_30.04 to 29.06</t>
  </si>
  <si>
    <t>Compliance Check</t>
  </si>
  <si>
    <t>Difference</t>
  </si>
  <si>
    <t>Yes-Agreement</t>
  </si>
  <si>
    <t>Yes-FTEC</t>
  </si>
  <si>
    <t>Yes-Payroll Report</t>
  </si>
  <si>
    <t>Zoho_Firstlink</t>
  </si>
  <si>
    <t>Yes-Invoice</t>
  </si>
  <si>
    <t>International Payment</t>
  </si>
  <si>
    <t>Intercompany Transfer</t>
  </si>
  <si>
    <t>HSSB2HCI</t>
  </si>
  <si>
    <t>HSSB2HCI_30.04.2025</t>
  </si>
  <si>
    <t>Inome Tax_HSSB</t>
  </si>
  <si>
    <t>Installment Tax_0325</t>
  </si>
  <si>
    <t>CSI</t>
  </si>
  <si>
    <t>Internal</t>
  </si>
  <si>
    <t>Overhead</t>
  </si>
  <si>
    <t>Yes-CP20 Form</t>
  </si>
  <si>
    <t>Total Statutory</t>
  </si>
  <si>
    <t>Yes-Invoice/Agreement</t>
  </si>
  <si>
    <t>Alliance Bank</t>
  </si>
  <si>
    <t>Alliance Loan_0425</t>
  </si>
  <si>
    <t>Total Loan</t>
  </si>
  <si>
    <t>Statutory</t>
  </si>
  <si>
    <t>Loan</t>
  </si>
  <si>
    <t>HEXA Nepal</t>
  </si>
  <si>
    <t>Total International Payout</t>
  </si>
  <si>
    <t>Interbank Transfers</t>
  </si>
  <si>
    <t>Fund Transfers</t>
  </si>
  <si>
    <t>HEXA Nepal_Apr</t>
  </si>
  <si>
    <t>CIMB</t>
  </si>
  <si>
    <t>Yes-Loan Agreement/Schedule</t>
  </si>
  <si>
    <t>HSSB CIMB to HSSB Maybank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</si>
</sst>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/>
    </xf>
    <xf numFmtId="43" fontId="4" fillId="0" borderId="0" xfId="1" applyFont="1"/>
    <xf numFmtId="4" fontId="4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43" fontId="2" fillId="2" borderId="0" xfId="1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4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/>
    <xf numFmtId="2" fontId="5" fillId="0" borderId="0" xfId="0" applyNumberFormat="1" applyFont="1"/>
    <xf numFmtId="43" fontId="5" fillId="0" borderId="0" xfId="1" applyFont="1" applyAlignment="1">
      <alignment horizontal="center"/>
    </xf>
    <xf numFmtId="4" fontId="6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3" fontId="2" fillId="0" borderId="1" xfId="0" applyNumberFormat="1" applyFont="1" applyBorder="1"/>
    <xf numFmtId="43" fontId="2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43" fontId="2" fillId="0" borderId="0" xfId="1" applyFont="1" applyFill="1" applyAlignment="1">
      <alignment horizontal="center" vertical="center" wrapText="1"/>
    </xf>
    <xf numFmtId="43" fontId="5" fillId="0" borderId="0" xfId="0" applyNumberFormat="1" applyFont="1"/>
    <xf numFmtId="43" fontId="7" fillId="0" borderId="0" xfId="0" applyNumberFormat="1" applyFont="1"/>
    <xf numFmtId="43" fontId="8" fillId="0" borderId="0" xfId="0" applyNumberFormat="1" applyFont="1"/>
    <xf numFmtId="0" fontId="7" fillId="0" borderId="0" xfId="0" applyFont="1" applyAlignment="1">
      <alignment horizontal="left"/>
    </xf>
    <xf numFmtId="0" fontId="8" fillId="0" borderId="0" xfId="0" applyFont="1"/>
    <xf numFmtId="43" fontId="3" fillId="0" borderId="0" xfId="0" applyNumberFormat="1" applyFont="1"/>
    <xf numFmtId="0" fontId="3" fillId="0" borderId="0" xfId="0" applyFont="1"/>
    <xf numFmtId="43" fontId="4" fillId="0" borderId="0" xfId="0" applyNumberFormat="1" applyFont="1"/>
    <xf numFmtId="0" fontId="9" fillId="0" borderId="0" xfId="0" applyFont="1" applyAlignment="1">
      <alignment horizontal="right"/>
    </xf>
    <xf numFmtId="43" fontId="9" fillId="0" borderId="0" xfId="1" applyFont="1" applyBorder="1"/>
    <xf numFmtId="43" fontId="5" fillId="0" borderId="0" xfId="1" applyFont="1" applyBorder="1" applyAlignment="1">
      <alignment horizontal="right"/>
    </xf>
    <xf numFmtId="14" fontId="4" fillId="0" borderId="0" xfId="0" applyNumberFormat="1" applyFont="1" applyAlignment="1">
      <alignment horizontal="right"/>
    </xf>
    <xf numFmtId="43" fontId="4" fillId="0" borderId="0" xfId="1" applyFont="1" applyAlignment="1">
      <alignment horizontal="center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3" fontId="6" fillId="0" borderId="1" xfId="0" applyNumberFormat="1" applyFont="1" applyBorder="1"/>
    <xf numFmtId="43" fontId="4" fillId="0" borderId="0" xfId="1" applyFont="1" applyFill="1" applyBorder="1" applyAlignment="1">
      <alignment horizontal="left"/>
    </xf>
    <xf numFmtId="43" fontId="4" fillId="0" borderId="0" xfId="1" applyFont="1" applyFill="1" applyAlignment="1">
      <alignment horizontal="left"/>
    </xf>
    <xf numFmtId="43" fontId="4" fillId="0" borderId="0" xfId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pex%20Asia\Hexamatics%20Dropbox\HSSB%20Finance\HSSB%202023\HSSB_2023_PIR\HSSB_2023_PIR_11\PIR_07-11-2023\7th%20Nov%20Generator%20-%20salaries.xlsm" TargetMode="External"/><Relationship Id="rId1" Type="http://schemas.openxmlformats.org/officeDocument/2006/relationships/externalLinkPath" Target="/Users/Apex%20Asia/Hexamatics%20Dropbox/HSSB%20Finance/HSSB%202023/HSSB_2023_PIR/HSSB_2023_PIR_11/PIR_07-11-2023/7th%20Nov%20Generator%20-%20salari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ritan%20Khawas/Hexamatics%20Dropbox/HSSB%20Finance/HSSB%202024/HSSB_2024_PIR/HSSB_2024_PIR_09/06-09-2024/7th%20Sep%20Generator%20-%20CS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Book Transfer Own Account"/>
      <sheetName val="Domestic Payments"/>
      <sheetName val="Staff Payroll"/>
      <sheetName val="International Payments"/>
      <sheetName val="Jompay"/>
      <sheetName val="Bank Code"/>
      <sheetName val="Country Code"/>
      <sheetName val="Declaration of Purpose Code-FEA"/>
      <sheetName val="OTT Purpose Code"/>
      <sheetName val="Currencies"/>
      <sheetName val="Other Code &amp; Charges Borne By"/>
      <sheetName val="RENTAS Purpose Code"/>
      <sheetName val="Configuration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PHBMMYKL</v>
          </cell>
        </row>
        <row r="3">
          <cell r="B3" t="str">
            <v>PAMBMYK1</v>
          </cell>
        </row>
        <row r="4">
          <cell r="B4" t="str">
            <v>AIBBMYKL</v>
          </cell>
        </row>
        <row r="5">
          <cell r="B5" t="str">
            <v>RJHIMYKL</v>
          </cell>
        </row>
        <row r="6">
          <cell r="B6" t="str">
            <v>MFBBMYKL</v>
          </cell>
        </row>
        <row r="7">
          <cell r="B7" t="str">
            <v>MBAMMYK1</v>
          </cell>
        </row>
        <row r="8">
          <cell r="B8" t="str">
            <v>MBAM9999</v>
          </cell>
        </row>
        <row r="9">
          <cell r="B9" t="str">
            <v>ALSRMYK1</v>
          </cell>
        </row>
        <row r="10">
          <cell r="B10" t="str">
            <v>ARBKMYKL</v>
          </cell>
        </row>
        <row r="11">
          <cell r="B11" t="str">
            <v>ARBK9999</v>
          </cell>
        </row>
        <row r="12">
          <cell r="B12" t="str">
            <v>AMMBMYKL</v>
          </cell>
        </row>
        <row r="13">
          <cell r="B13" t="str">
            <v>AMMB9999</v>
          </cell>
        </row>
        <row r="14">
          <cell r="B14" t="str">
            <v>AISLMYKL</v>
          </cell>
        </row>
        <row r="15">
          <cell r="B15" t="str">
            <v>MBEAMYK1</v>
          </cell>
        </row>
        <row r="16">
          <cell r="B16" t="str">
            <v>MBEA9999</v>
          </cell>
        </row>
        <row r="17">
          <cell r="B17" t="str">
            <v>AFBQMYKL</v>
          </cell>
        </row>
        <row r="18">
          <cell r="B18" t="str">
            <v>BKKBMYKL</v>
          </cell>
        </row>
        <row r="19">
          <cell r="B19" t="str">
            <v>BIMBMYKL</v>
          </cell>
        </row>
        <row r="20">
          <cell r="B20" t="str">
            <v>BMMBMYKL</v>
          </cell>
        </row>
        <row r="21">
          <cell r="B21" t="str">
            <v>BNMAMYKL</v>
          </cell>
        </row>
        <row r="22">
          <cell r="B22" t="str">
            <v>BOFAMY2X</v>
          </cell>
        </row>
        <row r="23">
          <cell r="B23" t="str">
            <v>BKCHMYKL</v>
          </cell>
        </row>
        <row r="24">
          <cell r="B24" t="str">
            <v>BOTKMYKX</v>
          </cell>
        </row>
        <row r="25">
          <cell r="B25" t="str">
            <v>PEMBMYKL</v>
          </cell>
        </row>
        <row r="26">
          <cell r="B26" t="str">
            <v>PEMB9999</v>
          </cell>
        </row>
        <row r="27">
          <cell r="B27" t="str">
            <v>AGOBMYKL</v>
          </cell>
        </row>
        <row r="28">
          <cell r="B28" t="str">
            <v>BPMBMYKL</v>
          </cell>
        </row>
        <row r="29">
          <cell r="B29" t="str">
            <v>AGOB9999</v>
          </cell>
        </row>
        <row r="30">
          <cell r="B30" t="str">
            <v>BKRMMYK1</v>
          </cell>
        </row>
        <row r="31">
          <cell r="B31" t="str">
            <v>BRMB9999</v>
          </cell>
        </row>
        <row r="32">
          <cell r="B32" t="str">
            <v>BSNAMYK1</v>
          </cell>
        </row>
        <row r="33">
          <cell r="B33" t="str">
            <v>BSNAMY21</v>
          </cell>
        </row>
        <row r="34">
          <cell r="B34" t="str">
            <v>BSNA9999</v>
          </cell>
        </row>
        <row r="35">
          <cell r="B35" t="str">
            <v>BNMAMYKL15</v>
          </cell>
        </row>
        <row r="36">
          <cell r="B36" t="str">
            <v>BNMAMYKL16</v>
          </cell>
        </row>
        <row r="37">
          <cell r="B37" t="str">
            <v>BNMAMYKL19</v>
          </cell>
        </row>
        <row r="38">
          <cell r="B38" t="str">
            <v>BNMAMYKL21</v>
          </cell>
        </row>
        <row r="39">
          <cell r="B39" t="str">
            <v>BNMAMYKL20</v>
          </cell>
        </row>
        <row r="40">
          <cell r="B40" t="str">
            <v>BNMAMYKL22</v>
          </cell>
        </row>
        <row r="41">
          <cell r="B41" t="str">
            <v>BNMAMYKL11</v>
          </cell>
        </row>
        <row r="42">
          <cell r="B42" t="str">
            <v>BNMAMYKL09</v>
          </cell>
        </row>
        <row r="43">
          <cell r="B43" t="str">
            <v>BNMAMYKL23</v>
          </cell>
        </row>
        <row r="44">
          <cell r="B44" t="str">
            <v>BNMAMYKL14</v>
          </cell>
        </row>
        <row r="45">
          <cell r="B45" t="str">
            <v>BNMAMYKL05</v>
          </cell>
        </row>
        <row r="46">
          <cell r="B46" t="str">
            <v>BNMAMYKL17</v>
          </cell>
        </row>
        <row r="47">
          <cell r="B47" t="str">
            <v>BNMAMYKL18</v>
          </cell>
        </row>
        <row r="48">
          <cell r="B48" t="str">
            <v>BNMAMYKL04</v>
          </cell>
        </row>
        <row r="49">
          <cell r="B49" t="str">
            <v>BNMAMYKL01</v>
          </cell>
        </row>
        <row r="50">
          <cell r="B50" t="str">
            <v>BNMAMYKL02</v>
          </cell>
        </row>
        <row r="51">
          <cell r="B51" t="str">
            <v>BNMAMYKL06</v>
          </cell>
        </row>
        <row r="52">
          <cell r="B52" t="str">
            <v>BNMAMYKL13</v>
          </cell>
        </row>
        <row r="53">
          <cell r="B53" t="str">
            <v>BNMAMYKL08</v>
          </cell>
        </row>
        <row r="54">
          <cell r="B54" t="str">
            <v>BNMAMYKL03</v>
          </cell>
        </row>
        <row r="55">
          <cell r="B55" t="str">
            <v>BNMAMYKL12</v>
          </cell>
        </row>
        <row r="56">
          <cell r="B56" t="str">
            <v>BNMAMYKL24</v>
          </cell>
        </row>
        <row r="57">
          <cell r="B57" t="str">
            <v>BNMAMYKL25</v>
          </cell>
        </row>
        <row r="58">
          <cell r="B58" t="str">
            <v>BNMAMYKL07</v>
          </cell>
        </row>
        <row r="59">
          <cell r="B59" t="str">
            <v>BNMAMYKL10</v>
          </cell>
        </row>
        <row r="60">
          <cell r="B60" t="str">
            <v>BNPAMYKL</v>
          </cell>
        </row>
        <row r="61">
          <cell r="B61" t="str">
            <v>BNPA9999</v>
          </cell>
        </row>
        <row r="62">
          <cell r="B62" t="str">
            <v>CAGAMYK1</v>
          </cell>
        </row>
        <row r="63">
          <cell r="B63" t="str">
            <v>CAGA9999</v>
          </cell>
        </row>
        <row r="64">
          <cell r="B64" t="str">
            <v>CIBBMYKL</v>
          </cell>
        </row>
        <row r="65">
          <cell r="B65" t="str">
            <v>COIMMYK1</v>
          </cell>
        </row>
        <row r="66">
          <cell r="B66" t="str">
            <v>COIM9999</v>
          </cell>
        </row>
        <row r="67">
          <cell r="B67" t="str">
            <v>CTBBMYKL</v>
          </cell>
        </row>
        <row r="68">
          <cell r="B68" t="str">
            <v>CITIMYKL</v>
          </cell>
        </row>
        <row r="69">
          <cell r="B69" t="str">
            <v>CITI9999</v>
          </cell>
        </row>
        <row r="70">
          <cell r="B70" t="str">
            <v>DEUT9999</v>
          </cell>
        </row>
        <row r="71">
          <cell r="B71" t="str">
            <v>DEUTMYKL</v>
          </cell>
        </row>
        <row r="72">
          <cell r="B72" t="str">
            <v>AVSSMYK1</v>
          </cell>
        </row>
        <row r="73">
          <cell r="B73" t="str">
            <v>MGTCBEBE</v>
          </cell>
        </row>
        <row r="74">
          <cell r="B74" t="str">
            <v>EXMBMYKL</v>
          </cell>
        </row>
        <row r="75">
          <cell r="B75" t="str">
            <v>EXMB9999</v>
          </cell>
        </row>
        <row r="76">
          <cell r="B76" t="str">
            <v>HLBBMYKL</v>
          </cell>
        </row>
        <row r="77">
          <cell r="B77" t="str">
            <v>PERDMYK1</v>
          </cell>
        </row>
        <row r="78">
          <cell r="B78" t="str">
            <v>HLIBMYKL</v>
          </cell>
        </row>
        <row r="79">
          <cell r="B79" t="str">
            <v>HBMBMYKL</v>
          </cell>
        </row>
        <row r="80">
          <cell r="B80" t="str">
            <v>HMABMYKL</v>
          </cell>
        </row>
        <row r="81">
          <cell r="B81" t="str">
            <v>HBMB9999</v>
          </cell>
        </row>
        <row r="82">
          <cell r="B82" t="str">
            <v>HDSBMY2P</v>
          </cell>
        </row>
        <row r="83">
          <cell r="B83" t="str">
            <v>ICBKMYKL</v>
          </cell>
        </row>
        <row r="84">
          <cell r="B84" t="str">
            <v>IIMBMYKL</v>
          </cell>
        </row>
        <row r="85">
          <cell r="B85" t="str">
            <v>CHASMYKX</v>
          </cell>
        </row>
        <row r="86">
          <cell r="B86" t="str">
            <v>KAFDMYK1</v>
          </cell>
        </row>
        <row r="87">
          <cell r="B87" t="str">
            <v>KAFD9999</v>
          </cell>
        </row>
        <row r="88">
          <cell r="B88" t="str">
            <v>KKENMYK1</v>
          </cell>
        </row>
        <row r="89">
          <cell r="B89" t="str">
            <v>KWAPMYK1</v>
          </cell>
        </row>
        <row r="90">
          <cell r="B90" t="str">
            <v>KWSPMYK1</v>
          </cell>
        </row>
        <row r="91">
          <cell r="B91" t="str">
            <v>KFHOMYKL</v>
          </cell>
        </row>
        <row r="92">
          <cell r="B92" t="str">
            <v>MBBEMYKL</v>
          </cell>
        </row>
        <row r="93">
          <cell r="B93" t="str">
            <v>MEPSMYK1</v>
          </cell>
        </row>
        <row r="94">
          <cell r="B94" t="str">
            <v>MBISMYKL</v>
          </cell>
        </row>
        <row r="95">
          <cell r="B95" t="str">
            <v>UMBBMYK1</v>
          </cell>
        </row>
        <row r="96">
          <cell r="B96" t="str">
            <v>UMBB9999</v>
          </cell>
        </row>
        <row r="97">
          <cell r="B97" t="str">
            <v>MIMBMYKL</v>
          </cell>
        </row>
        <row r="98">
          <cell r="B98" t="str">
            <v>MHCBMYKA</v>
          </cell>
        </row>
        <row r="99">
          <cell r="B99" t="str">
            <v>NBADMYKL</v>
          </cell>
        </row>
        <row r="100">
          <cell r="B100" t="str">
            <v>OABBMYKL</v>
          </cell>
        </row>
        <row r="101">
          <cell r="B101" t="str">
            <v>OCBCMYKL</v>
          </cell>
        </row>
        <row r="102">
          <cell r="B102" t="str">
            <v>OSKIMYKL</v>
          </cell>
        </row>
        <row r="103">
          <cell r="B103" t="str">
            <v>OSKI9999</v>
          </cell>
        </row>
        <row r="104">
          <cell r="B104" t="str">
            <v>PBBEMYKL</v>
          </cell>
        </row>
        <row r="105">
          <cell r="B105" t="str">
            <v>SMBBMYK1</v>
          </cell>
        </row>
        <row r="106">
          <cell r="B106" t="str">
            <v>PIBEMYK1</v>
          </cell>
        </row>
        <row r="107">
          <cell r="B107" t="str">
            <v>RHBBMYKL</v>
          </cell>
        </row>
        <row r="108">
          <cell r="B108" t="str">
            <v>RHBAMYKL</v>
          </cell>
        </row>
        <row r="109">
          <cell r="B109" t="str">
            <v>RHBMMYK1</v>
          </cell>
        </row>
        <row r="110">
          <cell r="B110" t="str">
            <v>MSMEMYKL</v>
          </cell>
        </row>
        <row r="111">
          <cell r="B111" t="str">
            <v>MSME9999</v>
          </cell>
        </row>
        <row r="112">
          <cell r="B112" t="str">
            <v>SCBLMYKX</v>
          </cell>
        </row>
        <row r="113">
          <cell r="B113" t="str">
            <v>SCSRMYK1</v>
          </cell>
        </row>
        <row r="114">
          <cell r="B114" t="str">
            <v>SMBCMYKL</v>
          </cell>
        </row>
        <row r="115">
          <cell r="B115" t="str">
            <v>NOSCMYKL</v>
          </cell>
        </row>
        <row r="116">
          <cell r="B116" t="str">
            <v>UOVBMYKL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Book Transfer Own Account"/>
      <sheetName val="Domestic Payments"/>
      <sheetName val="Staff Payroll"/>
      <sheetName val="International Payments"/>
      <sheetName val="Jompay"/>
      <sheetName val="Bank Code"/>
      <sheetName val="Country Code"/>
      <sheetName val="Declaration of Purpose Code-FEA"/>
      <sheetName val="OTT Purpose Code"/>
      <sheetName val="Currencies"/>
      <sheetName val="Other Code &amp; Charges Borne By"/>
      <sheetName val="RENTAS Purpose Code"/>
      <sheetName val="Configur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00000</v>
          </cell>
        </row>
        <row r="3">
          <cell r="A3" t="str">
            <v>01000</v>
          </cell>
        </row>
        <row r="4">
          <cell r="A4" t="str">
            <v>02000</v>
          </cell>
        </row>
        <row r="5">
          <cell r="A5" t="str">
            <v>03000</v>
          </cell>
        </row>
        <row r="6">
          <cell r="A6" t="str">
            <v>04000</v>
          </cell>
        </row>
        <row r="7">
          <cell r="A7" t="str">
            <v>05000</v>
          </cell>
        </row>
        <row r="8">
          <cell r="A8" t="str">
            <v>06000</v>
          </cell>
        </row>
        <row r="9">
          <cell r="A9" t="str">
            <v>07000</v>
          </cell>
        </row>
        <row r="10">
          <cell r="A10" t="str">
            <v>07100</v>
          </cell>
        </row>
        <row r="11">
          <cell r="A11" t="str">
            <v>08000</v>
          </cell>
        </row>
        <row r="12">
          <cell r="A12" t="str">
            <v>09000</v>
          </cell>
        </row>
        <row r="13">
          <cell r="A13" t="str">
            <v>09700</v>
          </cell>
        </row>
        <row r="14">
          <cell r="A14" t="str">
            <v>10010</v>
          </cell>
        </row>
        <row r="15">
          <cell r="A15" t="str">
            <v>11110</v>
          </cell>
        </row>
        <row r="16">
          <cell r="A16" t="str">
            <v>11120</v>
          </cell>
        </row>
        <row r="17">
          <cell r="A17" t="str">
            <v>11130</v>
          </cell>
        </row>
        <row r="18">
          <cell r="A18" t="str">
            <v>11210</v>
          </cell>
        </row>
        <row r="19">
          <cell r="A19" t="str">
            <v>11220</v>
          </cell>
        </row>
        <row r="20">
          <cell r="A20" t="str">
            <v>11230</v>
          </cell>
        </row>
        <row r="21">
          <cell r="A21" t="str">
            <v>12110</v>
          </cell>
        </row>
        <row r="22">
          <cell r="A22" t="str">
            <v>12120</v>
          </cell>
        </row>
        <row r="23">
          <cell r="A23" t="str">
            <v>12130</v>
          </cell>
        </row>
        <row r="24">
          <cell r="A24" t="str">
            <v>12140</v>
          </cell>
        </row>
        <row r="25">
          <cell r="A25" t="str">
            <v>12210</v>
          </cell>
        </row>
        <row r="26">
          <cell r="A26" t="str">
            <v>12220</v>
          </cell>
        </row>
        <row r="27">
          <cell r="A27" t="str">
            <v>12230</v>
          </cell>
        </row>
        <row r="28">
          <cell r="A28" t="str">
            <v>12310</v>
          </cell>
        </row>
        <row r="29">
          <cell r="A29" t="str">
            <v>12320</v>
          </cell>
        </row>
        <row r="30">
          <cell r="A30" t="str">
            <v>12330</v>
          </cell>
        </row>
        <row r="31">
          <cell r="A31" t="str">
            <v>12400</v>
          </cell>
        </row>
        <row r="32">
          <cell r="A32" t="str">
            <v>12500</v>
          </cell>
        </row>
        <row r="33">
          <cell r="A33" t="str">
            <v>13110</v>
          </cell>
        </row>
        <row r="34">
          <cell r="A34" t="str">
            <v>13210</v>
          </cell>
        </row>
        <row r="35">
          <cell r="A35" t="str">
            <v>13220</v>
          </cell>
        </row>
        <row r="36">
          <cell r="A36" t="str">
            <v>13300</v>
          </cell>
        </row>
        <row r="37">
          <cell r="A37" t="str">
            <v>13400</v>
          </cell>
        </row>
        <row r="38">
          <cell r="A38" t="str">
            <v>13500</v>
          </cell>
        </row>
        <row r="39">
          <cell r="A39" t="str">
            <v>14110</v>
          </cell>
        </row>
        <row r="40">
          <cell r="A40" t="str">
            <v>14120</v>
          </cell>
        </row>
        <row r="41">
          <cell r="A41" t="str">
            <v>14140</v>
          </cell>
        </row>
        <row r="42">
          <cell r="A42" t="str">
            <v>14150</v>
          </cell>
        </row>
        <row r="43">
          <cell r="A43" t="str">
            <v>14210</v>
          </cell>
        </row>
        <row r="44">
          <cell r="A44" t="str">
            <v>14220</v>
          </cell>
        </row>
        <row r="45">
          <cell r="A45" t="str">
            <v>14230</v>
          </cell>
        </row>
        <row r="46">
          <cell r="A46" t="str">
            <v>14240</v>
          </cell>
        </row>
        <row r="47">
          <cell r="A47" t="str">
            <v>14250</v>
          </cell>
        </row>
        <row r="48">
          <cell r="A48" t="str">
            <v>14310</v>
          </cell>
        </row>
        <row r="49">
          <cell r="A49" t="str">
            <v>14320</v>
          </cell>
        </row>
        <row r="50">
          <cell r="A50" t="str">
            <v>14330</v>
          </cell>
        </row>
        <row r="51">
          <cell r="A51">
            <v>14410</v>
          </cell>
        </row>
        <row r="52">
          <cell r="A52">
            <v>14420</v>
          </cell>
        </row>
        <row r="53">
          <cell r="A53">
            <v>14430</v>
          </cell>
        </row>
        <row r="54">
          <cell r="A54" t="str">
            <v>15100</v>
          </cell>
        </row>
        <row r="55">
          <cell r="A55" t="str">
            <v>15200</v>
          </cell>
        </row>
        <row r="56">
          <cell r="A56" t="str">
            <v>15300</v>
          </cell>
        </row>
        <row r="57">
          <cell r="A57" t="str">
            <v>15400</v>
          </cell>
        </row>
        <row r="58">
          <cell r="A58" t="str">
            <v>15500</v>
          </cell>
        </row>
        <row r="59">
          <cell r="A59" t="str">
            <v>16100</v>
          </cell>
        </row>
        <row r="60">
          <cell r="A60" t="str">
            <v>16210</v>
          </cell>
        </row>
        <row r="61">
          <cell r="A61" t="str">
            <v>16220</v>
          </cell>
        </row>
        <row r="62">
          <cell r="A62" t="str">
            <v>16311</v>
          </cell>
        </row>
        <row r="63">
          <cell r="A63" t="str">
            <v>16312</v>
          </cell>
        </row>
        <row r="64">
          <cell r="A64" t="str">
            <v>16313</v>
          </cell>
        </row>
        <row r="65">
          <cell r="A65" t="str">
            <v>16314</v>
          </cell>
        </row>
        <row r="66">
          <cell r="A66" t="str">
            <v>16315</v>
          </cell>
        </row>
        <row r="67">
          <cell r="A67" t="str">
            <v>16321</v>
          </cell>
        </row>
        <row r="68">
          <cell r="A68" t="str">
            <v>16322</v>
          </cell>
        </row>
        <row r="69">
          <cell r="A69" t="str">
            <v>16323</v>
          </cell>
        </row>
        <row r="70">
          <cell r="A70" t="str">
            <v>16324</v>
          </cell>
        </row>
        <row r="71">
          <cell r="A71" t="str">
            <v>16325</v>
          </cell>
        </row>
        <row r="72">
          <cell r="A72" t="str">
            <v>16332</v>
          </cell>
        </row>
        <row r="73">
          <cell r="A73" t="str">
            <v>16410</v>
          </cell>
        </row>
        <row r="74">
          <cell r="A74" t="str">
            <v>16420</v>
          </cell>
        </row>
        <row r="75">
          <cell r="A75" t="str">
            <v>16430</v>
          </cell>
        </row>
        <row r="76">
          <cell r="A76" t="str">
            <v>16440</v>
          </cell>
        </row>
        <row r="77">
          <cell r="A77" t="str">
            <v>16510</v>
          </cell>
        </row>
        <row r="78">
          <cell r="A78" t="str">
            <v>16520</v>
          </cell>
        </row>
        <row r="79">
          <cell r="A79" t="str">
            <v>16610</v>
          </cell>
        </row>
        <row r="80">
          <cell r="A80" t="str">
            <v>16620</v>
          </cell>
        </row>
        <row r="81">
          <cell r="A81" t="str">
            <v>16710</v>
          </cell>
        </row>
        <row r="82">
          <cell r="A82" t="str">
            <v>16720</v>
          </cell>
        </row>
        <row r="83">
          <cell r="A83" t="str">
            <v>16730</v>
          </cell>
        </row>
        <row r="84">
          <cell r="A84" t="str">
            <v>16740</v>
          </cell>
        </row>
        <row r="85">
          <cell r="A85" t="str">
            <v>16750</v>
          </cell>
        </row>
        <row r="86">
          <cell r="A86" t="str">
            <v>16760</v>
          </cell>
        </row>
        <row r="87">
          <cell r="A87" t="str">
            <v>16771</v>
          </cell>
        </row>
        <row r="88">
          <cell r="A88" t="str">
            <v>16772</v>
          </cell>
        </row>
        <row r="89">
          <cell r="A89" t="str">
            <v>16773</v>
          </cell>
        </row>
        <row r="90">
          <cell r="A90" t="str">
            <v>16780</v>
          </cell>
        </row>
        <row r="91">
          <cell r="A91" t="str">
            <v>16791</v>
          </cell>
        </row>
        <row r="92">
          <cell r="A92" t="str">
            <v>16792</v>
          </cell>
        </row>
        <row r="93">
          <cell r="A93" t="str">
            <v>16810</v>
          </cell>
        </row>
        <row r="94">
          <cell r="A94" t="str">
            <v>16820</v>
          </cell>
        </row>
        <row r="95">
          <cell r="A95" t="str">
            <v>16830</v>
          </cell>
        </row>
        <row r="96">
          <cell r="A96" t="str">
            <v>16840</v>
          </cell>
        </row>
        <row r="97">
          <cell r="A97" t="str">
            <v>16850</v>
          </cell>
        </row>
        <row r="98">
          <cell r="A98" t="str">
            <v>16900</v>
          </cell>
        </row>
        <row r="99">
          <cell r="A99" t="str">
            <v>16910</v>
          </cell>
        </row>
        <row r="100">
          <cell r="A100" t="str">
            <v>17010</v>
          </cell>
        </row>
        <row r="101">
          <cell r="A101" t="str">
            <v>17020</v>
          </cell>
        </row>
        <row r="102">
          <cell r="A102" t="str">
            <v>17030</v>
          </cell>
        </row>
        <row r="103">
          <cell r="A103" t="str">
            <v>17050</v>
          </cell>
        </row>
        <row r="104">
          <cell r="A104" t="str">
            <v>17070</v>
          </cell>
        </row>
        <row r="105">
          <cell r="A105" t="str">
            <v>17080</v>
          </cell>
        </row>
        <row r="106">
          <cell r="A106" t="str">
            <v>21110</v>
          </cell>
        </row>
        <row r="107">
          <cell r="A107" t="str">
            <v>21120</v>
          </cell>
        </row>
        <row r="108">
          <cell r="A108" t="str">
            <v>21131</v>
          </cell>
        </row>
        <row r="109">
          <cell r="A109" t="str">
            <v>21132</v>
          </cell>
        </row>
        <row r="110">
          <cell r="A110" t="str">
            <v>21133</v>
          </cell>
        </row>
        <row r="111">
          <cell r="A111" t="str">
            <v>21140</v>
          </cell>
        </row>
        <row r="112">
          <cell r="A112" t="str">
            <v>21201</v>
          </cell>
        </row>
        <row r="113">
          <cell r="A113" t="str">
            <v>21210</v>
          </cell>
        </row>
        <row r="114">
          <cell r="A114" t="str">
            <v>21220</v>
          </cell>
        </row>
        <row r="115">
          <cell r="A115" t="str">
            <v>21230</v>
          </cell>
        </row>
        <row r="116">
          <cell r="A116" t="str">
            <v>21241</v>
          </cell>
        </row>
        <row r="117">
          <cell r="A117" t="str">
            <v>21242</v>
          </cell>
        </row>
        <row r="118">
          <cell r="A118" t="str">
            <v>21243</v>
          </cell>
        </row>
        <row r="119">
          <cell r="A119" t="str">
            <v>21244</v>
          </cell>
        </row>
        <row r="120">
          <cell r="A120" t="str">
            <v>21245</v>
          </cell>
        </row>
        <row r="121">
          <cell r="A121" t="str">
            <v>21246</v>
          </cell>
        </row>
        <row r="122">
          <cell r="A122" t="str">
            <v>22110</v>
          </cell>
        </row>
        <row r="123">
          <cell r="A123" t="str">
            <v>22130</v>
          </cell>
        </row>
        <row r="124">
          <cell r="A124" t="str">
            <v>22210</v>
          </cell>
        </row>
        <row r="125">
          <cell r="A125" t="str">
            <v>22220</v>
          </cell>
        </row>
        <row r="126">
          <cell r="A126" t="str">
            <v>22230</v>
          </cell>
        </row>
        <row r="127">
          <cell r="A127" t="str">
            <v>23000</v>
          </cell>
        </row>
        <row r="128">
          <cell r="A128" t="str">
            <v>31111</v>
          </cell>
        </row>
        <row r="129">
          <cell r="A129" t="str">
            <v>31112</v>
          </cell>
        </row>
        <row r="130">
          <cell r="A130" t="str">
            <v>31113</v>
          </cell>
        </row>
        <row r="131">
          <cell r="A131" t="str">
            <v>31121</v>
          </cell>
        </row>
        <row r="132">
          <cell r="A132" t="str">
            <v>31122</v>
          </cell>
        </row>
        <row r="133">
          <cell r="A133" t="str">
            <v>31123</v>
          </cell>
        </row>
        <row r="134">
          <cell r="A134" t="str">
            <v>31211</v>
          </cell>
        </row>
        <row r="135">
          <cell r="A135" t="str">
            <v>31212</v>
          </cell>
        </row>
        <row r="136">
          <cell r="A136" t="str">
            <v>31213</v>
          </cell>
        </row>
        <row r="137">
          <cell r="A137" t="str">
            <v>31214</v>
          </cell>
        </row>
        <row r="138">
          <cell r="A138" t="str">
            <v>31215</v>
          </cell>
        </row>
        <row r="139">
          <cell r="A139" t="str">
            <v>31216</v>
          </cell>
        </row>
        <row r="140">
          <cell r="A140" t="str">
            <v>31221</v>
          </cell>
        </row>
        <row r="141">
          <cell r="A141" t="str">
            <v>31222</v>
          </cell>
        </row>
        <row r="142">
          <cell r="A142" t="str">
            <v>31223</v>
          </cell>
        </row>
        <row r="143">
          <cell r="A143" t="str">
            <v>31224</v>
          </cell>
        </row>
        <row r="144">
          <cell r="A144" t="str">
            <v>31225</v>
          </cell>
        </row>
        <row r="145">
          <cell r="A145" t="str">
            <v>31226</v>
          </cell>
        </row>
        <row r="146">
          <cell r="A146" t="str">
            <v>31230</v>
          </cell>
        </row>
        <row r="147">
          <cell r="A147" t="str">
            <v>31311</v>
          </cell>
        </row>
        <row r="148">
          <cell r="A148" t="str">
            <v>31312</v>
          </cell>
        </row>
        <row r="149">
          <cell r="A149" t="str">
            <v>31411</v>
          </cell>
        </row>
        <row r="150">
          <cell r="A150" t="str">
            <v>31412</v>
          </cell>
        </row>
        <row r="151">
          <cell r="A151" t="str">
            <v>31413</v>
          </cell>
        </row>
        <row r="152">
          <cell r="A152" t="str">
            <v>31511</v>
          </cell>
        </row>
        <row r="153">
          <cell r="A153" t="str">
            <v>31512</v>
          </cell>
        </row>
        <row r="154">
          <cell r="A154" t="str">
            <v>31513</v>
          </cell>
        </row>
        <row r="155">
          <cell r="A155" t="str">
            <v>31911</v>
          </cell>
        </row>
        <row r="156">
          <cell r="A156" t="str">
            <v>31912</v>
          </cell>
        </row>
        <row r="157">
          <cell r="A157" t="str">
            <v>31913</v>
          </cell>
        </row>
        <row r="158">
          <cell r="A158" t="str">
            <v>31921</v>
          </cell>
        </row>
        <row r="159">
          <cell r="A159" t="str">
            <v>31922</v>
          </cell>
        </row>
        <row r="160">
          <cell r="A160" t="str">
            <v>31923</v>
          </cell>
        </row>
        <row r="161">
          <cell r="A161" t="str">
            <v>35130</v>
          </cell>
        </row>
        <row r="162">
          <cell r="A162" t="str">
            <v>35140</v>
          </cell>
        </row>
        <row r="163">
          <cell r="A163" t="str">
            <v>35200</v>
          </cell>
        </row>
        <row r="164">
          <cell r="A164" t="str">
            <v>35300</v>
          </cell>
        </row>
        <row r="165">
          <cell r="A165" t="str">
            <v>35400</v>
          </cell>
        </row>
        <row r="166">
          <cell r="A166" t="str">
            <v>32100</v>
          </cell>
        </row>
        <row r="167">
          <cell r="A167" t="str">
            <v>32200</v>
          </cell>
        </row>
        <row r="168">
          <cell r="A168" t="str">
            <v>33000</v>
          </cell>
        </row>
        <row r="169">
          <cell r="A169" t="str">
            <v>34000</v>
          </cell>
        </row>
        <row r="170">
          <cell r="A170" t="str">
            <v>36110</v>
          </cell>
        </row>
        <row r="171">
          <cell r="A171" t="str">
            <v>36120</v>
          </cell>
        </row>
        <row r="172">
          <cell r="A172" t="str">
            <v>36130</v>
          </cell>
        </row>
        <row r="173">
          <cell r="A173" t="str">
            <v>36410</v>
          </cell>
        </row>
        <row r="174">
          <cell r="A174" t="str">
            <v>36420</v>
          </cell>
        </row>
        <row r="175">
          <cell r="A175" t="str">
            <v>36430</v>
          </cell>
        </row>
        <row r="176">
          <cell r="A176" t="str">
            <v>39111</v>
          </cell>
        </row>
        <row r="177">
          <cell r="A177" t="str">
            <v>39112</v>
          </cell>
        </row>
        <row r="178">
          <cell r="A178" t="str">
            <v>39121</v>
          </cell>
        </row>
        <row r="179">
          <cell r="A179" t="str">
            <v>39122</v>
          </cell>
        </row>
        <row r="180">
          <cell r="A180" t="str">
            <v>39210</v>
          </cell>
        </row>
        <row r="181">
          <cell r="A181" t="str">
            <v>39220</v>
          </cell>
        </row>
        <row r="182">
          <cell r="A182" t="str">
            <v>36210</v>
          </cell>
        </row>
        <row r="183">
          <cell r="A183" t="str">
            <v>36220</v>
          </cell>
        </row>
        <row r="184">
          <cell r="A184" t="str">
            <v>36230</v>
          </cell>
        </row>
        <row r="185">
          <cell r="A185" t="str">
            <v>36240</v>
          </cell>
        </row>
        <row r="186">
          <cell r="A186" t="str">
            <v>36310</v>
          </cell>
        </row>
        <row r="187">
          <cell r="A187" t="str">
            <v>36320</v>
          </cell>
        </row>
        <row r="188">
          <cell r="A188" t="str">
            <v>36330</v>
          </cell>
        </row>
        <row r="189">
          <cell r="A189" t="str">
            <v>36340</v>
          </cell>
        </row>
        <row r="190">
          <cell r="A190" t="str">
            <v>37100</v>
          </cell>
        </row>
        <row r="191">
          <cell r="A191" t="str">
            <v>37200</v>
          </cell>
        </row>
        <row r="192">
          <cell r="A192" t="str">
            <v>37300</v>
          </cell>
        </row>
        <row r="193">
          <cell r="A193" t="str">
            <v>37400</v>
          </cell>
        </row>
        <row r="194">
          <cell r="A194" t="str">
            <v>37900</v>
          </cell>
        </row>
        <row r="195">
          <cell r="A195" t="str">
            <v>88888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9"/>
  <sheetViews>
    <sheetView tabSelected="1" view="pageBreakPreview" zoomScale="84" zoomScaleNormal="100" zoomScaleSheetLayoutView="100" workbookViewId="0"/>
  </sheetViews>
  <sheetFormatPr defaultColWidth="9.140625" defaultRowHeight="12.75" x14ac:dyDescent="0.2"/>
  <cols>
    <col min="1" max="1" width="10.42578125" style="3" customWidth="1"/>
    <col min="2" max="3" width="19.7109375" style="2" bestFit="1" customWidth="1"/>
    <col min="4" max="4" width="22.140625" style="2" bestFit="1" customWidth="1"/>
    <col min="5" max="5" width="30.7109375" style="2" bestFit="1" customWidth="1"/>
    <col min="6" max="6" width="14.7109375" style="3" bestFit="1" customWidth="1"/>
    <col min="7" max="7" width="15.28515625" style="3" bestFit="1" customWidth="1"/>
    <col min="8" max="8" width="15" style="3" bestFit="1" customWidth="1"/>
    <col min="9" max="9" width="27.28515625" style="3" bestFit="1" customWidth="1"/>
    <col min="10" max="10" width="36.85546875" style="3" bestFit="1" customWidth="1"/>
    <col min="11" max="11" width="13.28515625" style="3" customWidth="1"/>
    <col min="12" max="12" width="25.85546875" style="3" bestFit="1" customWidth="1"/>
    <col min="13" max="13" width="17.28515625" style="3" bestFit="1" customWidth="1"/>
    <col min="14" max="14" width="27.28515625" style="3" bestFit="1" customWidth="1"/>
    <col min="15" max="15" width="10.28515625" style="3" bestFit="1" customWidth="1"/>
    <col min="16" max="16384" width="9.140625" style="3"/>
  </cols>
  <sheetData>
    <row r="1" spans="1:15" x14ac:dyDescent="0.2">
      <c r="A1" s="1" t="s">
        <v>7</v>
      </c>
    </row>
    <row r="2" spans="1:15" x14ac:dyDescent="0.2">
      <c r="A2" s="4" t="s">
        <v>17</v>
      </c>
      <c r="B2" s="4"/>
      <c r="C2" s="4"/>
      <c r="G2" s="5"/>
      <c r="H2" s="6"/>
      <c r="I2" s="6"/>
      <c r="J2" s="6"/>
      <c r="L2" s="6"/>
    </row>
    <row r="3" spans="1:15" s="11" customFormat="1" ht="25.5" x14ac:dyDescent="0.25">
      <c r="A3" s="7" t="s">
        <v>2</v>
      </c>
      <c r="B3" s="7" t="s">
        <v>3</v>
      </c>
      <c r="C3" s="7" t="s">
        <v>6</v>
      </c>
      <c r="D3" s="7" t="s">
        <v>0</v>
      </c>
      <c r="E3" s="7" t="s">
        <v>1</v>
      </c>
      <c r="F3" s="7" t="s">
        <v>5</v>
      </c>
      <c r="G3" s="8" t="s">
        <v>4</v>
      </c>
      <c r="H3" s="9" t="s">
        <v>22</v>
      </c>
      <c r="I3" s="9" t="s">
        <v>21</v>
      </c>
      <c r="J3" s="9" t="s">
        <v>9</v>
      </c>
      <c r="K3" s="9"/>
      <c r="L3" s="9"/>
      <c r="M3" s="10"/>
      <c r="N3" s="10"/>
    </row>
    <row r="4" spans="1:15" s="11" customFormat="1" x14ac:dyDescent="0.2">
      <c r="A4" s="12" t="s">
        <v>16</v>
      </c>
      <c r="B4" s="13" t="s">
        <v>8</v>
      </c>
      <c r="C4" s="13" t="s">
        <v>34</v>
      </c>
      <c r="D4" s="14" t="s">
        <v>15</v>
      </c>
      <c r="E4" s="14" t="s">
        <v>18</v>
      </c>
      <c r="F4" s="15">
        <v>1</v>
      </c>
      <c r="G4" s="15">
        <v>1</v>
      </c>
      <c r="H4" s="16">
        <f t="shared" ref="H4" si="0">F4-G4</f>
        <v>0</v>
      </c>
      <c r="I4" s="16" t="s">
        <v>24</v>
      </c>
      <c r="J4" s="17"/>
      <c r="K4" s="18"/>
      <c r="L4" s="18"/>
      <c r="M4" s="10"/>
      <c r="N4" s="10"/>
    </row>
    <row r="5" spans="1:15" s="1" customFormat="1" ht="13.5" thickBot="1" x14ac:dyDescent="0.25">
      <c r="A5" s="19"/>
      <c r="B5" s="19"/>
      <c r="C5" s="19"/>
      <c r="D5" s="19" t="s">
        <v>10</v>
      </c>
      <c r="E5" s="20"/>
      <c r="F5" s="21">
        <f>SUM(F4:F4)</f>
        <v>1</v>
      </c>
      <c r="G5" s="21">
        <f>SUM(G4:G4)</f>
        <v>1</v>
      </c>
      <c r="H5" s="21">
        <f>SUM(H4:H4)</f>
        <v>0</v>
      </c>
      <c r="I5" s="21"/>
      <c r="J5" s="21"/>
      <c r="K5" s="22"/>
      <c r="L5" s="22"/>
      <c r="M5" s="22"/>
    </row>
    <row r="6" spans="1:15" s="11" customFormat="1" ht="13.5" thickTop="1" x14ac:dyDescent="0.25">
      <c r="A6" s="23"/>
      <c r="B6" s="24"/>
      <c r="C6" s="24"/>
      <c r="D6" s="24"/>
      <c r="E6" s="24"/>
      <c r="F6" s="23"/>
      <c r="G6" s="25"/>
      <c r="H6" s="18"/>
      <c r="I6" s="18"/>
      <c r="J6" s="18"/>
      <c r="K6" s="18"/>
      <c r="L6" s="18"/>
    </row>
    <row r="7" spans="1:15" s="30" customFormat="1" x14ac:dyDescent="0.2">
      <c r="A7" s="12" t="s">
        <v>16</v>
      </c>
      <c r="B7" s="13" t="s">
        <v>8</v>
      </c>
      <c r="C7" s="13" t="s">
        <v>35</v>
      </c>
      <c r="D7" s="13" t="s">
        <v>14</v>
      </c>
      <c r="E7" s="14" t="s">
        <v>19</v>
      </c>
      <c r="F7" s="26">
        <v>1</v>
      </c>
      <c r="G7" s="26">
        <f>SUM(F7)</f>
        <v>1</v>
      </c>
      <c r="H7" s="16">
        <f t="shared" ref="H7" si="1">F7-G7</f>
        <v>0</v>
      </c>
      <c r="I7" s="16" t="s">
        <v>25</v>
      </c>
      <c r="J7" s="27"/>
      <c r="K7" s="28"/>
      <c r="L7" s="28"/>
      <c r="M7" s="29"/>
    </row>
    <row r="8" spans="1:15" s="1" customFormat="1" ht="13.5" thickBot="1" x14ac:dyDescent="0.25">
      <c r="A8" s="19"/>
      <c r="B8" s="19"/>
      <c r="C8" s="19"/>
      <c r="D8" s="19" t="s">
        <v>11</v>
      </c>
      <c r="E8" s="20"/>
      <c r="F8" s="21">
        <f>SUM(F7:F7)</f>
        <v>1</v>
      </c>
      <c r="G8" s="21">
        <f>SUM(G7:G7)</f>
        <v>1</v>
      </c>
      <c r="H8" s="21">
        <f>SUM(H7:H7)</f>
        <v>0</v>
      </c>
      <c r="I8" s="21"/>
      <c r="J8" s="21"/>
      <c r="K8" s="22"/>
      <c r="L8" s="33"/>
      <c r="M8" s="3"/>
      <c r="N8" s="34"/>
      <c r="O8" s="35"/>
    </row>
    <row r="9" spans="1:15" s="1" customFormat="1" ht="13.5" thickTop="1" x14ac:dyDescent="0.2">
      <c r="A9" s="4"/>
      <c r="B9" s="4"/>
      <c r="C9" s="4"/>
      <c r="D9" s="4"/>
      <c r="E9" s="2"/>
      <c r="F9" s="22"/>
      <c r="G9" s="22"/>
      <c r="H9" s="22"/>
      <c r="I9" s="22"/>
      <c r="J9" s="22"/>
      <c r="K9" s="22"/>
      <c r="L9" s="33"/>
      <c r="M9" s="3"/>
      <c r="N9" s="34"/>
      <c r="O9" s="35"/>
    </row>
    <row r="10" spans="1:15" s="1" customFormat="1" x14ac:dyDescent="0.2">
      <c r="A10" s="12" t="s">
        <v>16</v>
      </c>
      <c r="B10" s="13" t="s">
        <v>8</v>
      </c>
      <c r="C10" s="13" t="s">
        <v>36</v>
      </c>
      <c r="D10" s="2" t="s">
        <v>26</v>
      </c>
      <c r="E10" s="2" t="s">
        <v>20</v>
      </c>
      <c r="F10" s="33">
        <v>1</v>
      </c>
      <c r="G10" s="36">
        <f>F10</f>
        <v>1</v>
      </c>
      <c r="H10" s="16">
        <f t="shared" ref="H10" si="2">F10-G10</f>
        <v>0</v>
      </c>
      <c r="I10" s="16" t="s">
        <v>39</v>
      </c>
      <c r="J10" s="22"/>
      <c r="K10" s="22"/>
      <c r="L10" s="33"/>
      <c r="M10" s="3"/>
      <c r="N10" s="34"/>
      <c r="O10" s="35"/>
    </row>
    <row r="11" spans="1:15" s="1" customFormat="1" ht="13.5" thickBot="1" x14ac:dyDescent="0.25">
      <c r="A11" s="19"/>
      <c r="B11" s="19"/>
      <c r="C11" s="19"/>
      <c r="D11" s="19" t="s">
        <v>12</v>
      </c>
      <c r="E11" s="20"/>
      <c r="F11" s="21">
        <f>SUM(F10)</f>
        <v>1</v>
      </c>
      <c r="G11" s="21">
        <f t="shared" ref="G11:H11" si="3">SUM(G10)</f>
        <v>1</v>
      </c>
      <c r="H11" s="21">
        <f t="shared" si="3"/>
        <v>0</v>
      </c>
      <c r="I11" s="21"/>
      <c r="J11" s="21"/>
      <c r="K11" s="22"/>
      <c r="L11" s="22"/>
    </row>
    <row r="12" spans="1:15" s="1" customFormat="1" ht="13.5" thickTop="1" x14ac:dyDescent="0.2">
      <c r="A12" s="4"/>
      <c r="B12" s="4"/>
      <c r="C12" s="4"/>
      <c r="D12" s="4"/>
      <c r="E12" s="2"/>
      <c r="F12" s="22"/>
      <c r="G12" s="22"/>
      <c r="H12" s="22"/>
      <c r="I12" s="22"/>
      <c r="J12" s="22"/>
      <c r="K12" s="22"/>
      <c r="L12" s="22"/>
    </row>
    <row r="13" spans="1:15" s="32" customFormat="1" x14ac:dyDescent="0.2">
      <c r="A13" s="37" t="s">
        <v>16</v>
      </c>
      <c r="B13" s="2" t="s">
        <v>47</v>
      </c>
      <c r="C13" s="2" t="s">
        <v>48</v>
      </c>
      <c r="D13" s="2" t="s">
        <v>50</v>
      </c>
      <c r="E13" s="2" t="s">
        <v>52</v>
      </c>
      <c r="F13" s="33">
        <v>1</v>
      </c>
      <c r="G13" s="44">
        <f>F13</f>
        <v>1</v>
      </c>
      <c r="H13" s="38">
        <f t="shared" ref="H13" si="4">F13-G13</f>
        <v>0</v>
      </c>
      <c r="I13" s="38" t="s">
        <v>27</v>
      </c>
      <c r="J13" s="22"/>
      <c r="K13" s="31"/>
      <c r="L13" s="31"/>
    </row>
    <row r="14" spans="1:15" s="32" customFormat="1" ht="13.5" thickBot="1" x14ac:dyDescent="0.25">
      <c r="A14" s="19"/>
      <c r="B14" s="19"/>
      <c r="C14" s="19"/>
      <c r="D14" s="19" t="s">
        <v>12</v>
      </c>
      <c r="E14" s="20"/>
      <c r="F14" s="21">
        <f>SUM(F13)</f>
        <v>1</v>
      </c>
      <c r="G14" s="21">
        <f t="shared" ref="G14" si="5">SUM(G13)</f>
        <v>1</v>
      </c>
      <c r="H14" s="21">
        <f t="shared" ref="H14" si="6">SUM(H13)</f>
        <v>0</v>
      </c>
      <c r="I14" s="21"/>
      <c r="J14" s="21"/>
      <c r="K14" s="31"/>
      <c r="L14" s="31"/>
    </row>
    <row r="15" spans="1:15" s="1" customFormat="1" ht="13.5" thickTop="1" x14ac:dyDescent="0.2">
      <c r="A15" s="4"/>
      <c r="B15" s="4"/>
      <c r="C15" s="4"/>
      <c r="D15" s="4"/>
      <c r="E15" s="2"/>
      <c r="F15" s="22"/>
      <c r="G15" s="22"/>
      <c r="H15" s="22"/>
      <c r="I15" s="22"/>
      <c r="J15" s="22"/>
      <c r="K15" s="22"/>
      <c r="L15" s="22"/>
    </row>
    <row r="16" spans="1:15" s="1" customFormat="1" x14ac:dyDescent="0.2">
      <c r="A16" s="12" t="s">
        <v>16</v>
      </c>
      <c r="B16" s="13" t="s">
        <v>28</v>
      </c>
      <c r="C16" s="13" t="s">
        <v>29</v>
      </c>
      <c r="D16" s="2" t="s">
        <v>30</v>
      </c>
      <c r="E16" s="2" t="s">
        <v>31</v>
      </c>
      <c r="F16" s="33">
        <v>1</v>
      </c>
      <c r="G16" s="36">
        <f>F16</f>
        <v>1</v>
      </c>
      <c r="H16" s="16">
        <f t="shared" ref="H16:H17" si="7">F16-G16</f>
        <v>0</v>
      </c>
      <c r="I16" s="16" t="s">
        <v>23</v>
      </c>
      <c r="J16" s="22"/>
      <c r="K16" s="22"/>
      <c r="L16" s="22"/>
    </row>
    <row r="17" spans="1:12" s="1" customFormat="1" x14ac:dyDescent="0.2">
      <c r="A17" s="12" t="s">
        <v>16</v>
      </c>
      <c r="B17" s="13" t="s">
        <v>28</v>
      </c>
      <c r="C17" s="13" t="s">
        <v>29</v>
      </c>
      <c r="D17" s="2" t="s">
        <v>45</v>
      </c>
      <c r="E17" s="2" t="s">
        <v>49</v>
      </c>
      <c r="F17" s="33">
        <v>1</v>
      </c>
      <c r="G17" s="36">
        <f>F17</f>
        <v>1</v>
      </c>
      <c r="H17" s="16">
        <f t="shared" si="7"/>
        <v>0</v>
      </c>
      <c r="I17" s="16" t="s">
        <v>27</v>
      </c>
      <c r="J17" s="22"/>
      <c r="K17" s="22"/>
      <c r="L17" s="22"/>
    </row>
    <row r="18" spans="1:12" s="1" customFormat="1" ht="13.5" thickBot="1" x14ac:dyDescent="0.25">
      <c r="A18" s="19"/>
      <c r="B18" s="19"/>
      <c r="C18" s="19"/>
      <c r="D18" s="19" t="s">
        <v>46</v>
      </c>
      <c r="E18" s="20"/>
      <c r="F18" s="21">
        <f>SUM(F16)</f>
        <v>1</v>
      </c>
      <c r="G18" s="21">
        <f t="shared" ref="G18" si="8">SUM(G16)</f>
        <v>1</v>
      </c>
      <c r="H18" s="21">
        <f t="shared" ref="H18" si="9">SUM(H16)</f>
        <v>0</v>
      </c>
      <c r="I18" s="21"/>
      <c r="J18" s="21"/>
      <c r="K18" s="22"/>
      <c r="L18" s="22"/>
    </row>
    <row r="19" spans="1:12" s="1" customFormat="1" ht="13.5" thickTop="1" x14ac:dyDescent="0.2">
      <c r="A19" s="4"/>
      <c r="B19" s="4"/>
      <c r="C19" s="4"/>
      <c r="D19" s="4"/>
      <c r="E19" s="2"/>
      <c r="F19" s="22"/>
      <c r="G19" s="22"/>
      <c r="H19" s="22"/>
      <c r="I19" s="22"/>
      <c r="J19" s="22"/>
      <c r="K19" s="22"/>
      <c r="L19" s="22"/>
    </row>
    <row r="20" spans="1:12" s="1" customFormat="1" x14ac:dyDescent="0.2">
      <c r="A20" s="37" t="s">
        <v>16</v>
      </c>
      <c r="B20" s="2" t="s">
        <v>8</v>
      </c>
      <c r="C20" s="2" t="s">
        <v>43</v>
      </c>
      <c r="D20" s="2" t="s">
        <v>32</v>
      </c>
      <c r="E20" s="2" t="s">
        <v>33</v>
      </c>
      <c r="F20" s="38">
        <v>1</v>
      </c>
      <c r="G20" s="33">
        <f t="shared" ref="G20" si="10">F20</f>
        <v>1</v>
      </c>
      <c r="H20" s="38">
        <f t="shared" ref="H20" si="11">F20-G20</f>
        <v>0</v>
      </c>
      <c r="I20" s="16" t="s">
        <v>37</v>
      </c>
      <c r="J20" s="22"/>
      <c r="K20" s="22"/>
      <c r="L20" s="22"/>
    </row>
    <row r="21" spans="1:12" s="1" customFormat="1" ht="13.5" thickBot="1" x14ac:dyDescent="0.25">
      <c r="A21" s="19"/>
      <c r="B21" s="19"/>
      <c r="C21" s="19"/>
      <c r="D21" s="19" t="s">
        <v>38</v>
      </c>
      <c r="E21" s="20"/>
      <c r="F21" s="21">
        <f>SUM(F20)</f>
        <v>1</v>
      </c>
      <c r="G21" s="21">
        <f t="shared" ref="G21" si="12">SUM(G20)</f>
        <v>1</v>
      </c>
      <c r="H21" s="21">
        <f t="shared" ref="H21" si="13">SUM(H20)</f>
        <v>0</v>
      </c>
      <c r="I21" s="21"/>
      <c r="J21" s="21"/>
      <c r="K21" s="22"/>
      <c r="L21" s="22"/>
    </row>
    <row r="22" spans="1:12" s="1" customFormat="1" ht="13.5" thickTop="1" x14ac:dyDescent="0.2">
      <c r="A22" s="4"/>
      <c r="B22" s="4"/>
      <c r="C22" s="4"/>
      <c r="D22" s="4"/>
      <c r="E22" s="2"/>
      <c r="F22" s="22"/>
      <c r="G22" s="22"/>
      <c r="H22" s="22"/>
      <c r="I22" s="22"/>
      <c r="J22" s="22"/>
      <c r="K22" s="22"/>
      <c r="L22" s="22"/>
    </row>
    <row r="23" spans="1:12" s="1" customFormat="1" x14ac:dyDescent="0.2">
      <c r="A23" s="37" t="s">
        <v>16</v>
      </c>
      <c r="B23" s="2" t="s">
        <v>8</v>
      </c>
      <c r="C23" s="2" t="s">
        <v>44</v>
      </c>
      <c r="D23" s="2" t="s">
        <v>40</v>
      </c>
      <c r="E23" s="42" t="s">
        <v>41</v>
      </c>
      <c r="F23" s="43">
        <v>1</v>
      </c>
      <c r="G23" s="33">
        <f t="shared" ref="G23" si="14">F23</f>
        <v>1</v>
      </c>
      <c r="H23" s="38">
        <f t="shared" ref="H23" si="15">F23-G23</f>
        <v>0</v>
      </c>
      <c r="I23" s="33" t="s">
        <v>51</v>
      </c>
      <c r="J23" s="22"/>
      <c r="K23" s="22"/>
      <c r="L23" s="22"/>
    </row>
    <row r="24" spans="1:12" s="1" customFormat="1" ht="13.5" thickBot="1" x14ac:dyDescent="0.25">
      <c r="A24" s="39"/>
      <c r="B24" s="39"/>
      <c r="C24" s="39"/>
      <c r="D24" s="39" t="s">
        <v>42</v>
      </c>
      <c r="E24" s="40"/>
      <c r="F24" s="41">
        <f>SUM(F23)</f>
        <v>1</v>
      </c>
      <c r="G24" s="41">
        <f>SUM(G23)</f>
        <v>1</v>
      </c>
      <c r="H24" s="41">
        <f>SUM(H20:H23)</f>
        <v>0</v>
      </c>
      <c r="I24" s="41"/>
      <c r="J24" s="21"/>
      <c r="K24" s="22"/>
      <c r="L24" s="22"/>
    </row>
    <row r="25" spans="1:12" s="1" customFormat="1" ht="13.5" thickTop="1" x14ac:dyDescent="0.2">
      <c r="K25" s="22"/>
      <c r="L25" s="22"/>
    </row>
    <row r="26" spans="1:12" s="1" customFormat="1" ht="13.5" thickBot="1" x14ac:dyDescent="0.25">
      <c r="A26" s="19"/>
      <c r="B26" s="19"/>
      <c r="C26" s="19"/>
      <c r="D26" s="19" t="s">
        <v>13</v>
      </c>
      <c r="E26" s="19"/>
      <c r="F26" s="21">
        <f>F5+F8+F11+F14+F18+F21+F24</f>
        <v>7</v>
      </c>
      <c r="G26" s="21">
        <f>G5+G8+G11+G14+G18+G21+G24</f>
        <v>7</v>
      </c>
      <c r="H26" s="21">
        <f>H5+H8+H11+H14+H18+H21+H24</f>
        <v>0</v>
      </c>
      <c r="I26" s="21"/>
      <c r="J26" s="21"/>
      <c r="K26" s="22"/>
      <c r="L26" s="22"/>
    </row>
    <row r="27" spans="1:12" ht="13.5" thickTop="1" x14ac:dyDescent="0.2"/>
    <row r="28" spans="1:12" x14ac:dyDescent="0.2">
      <c r="J28" s="6"/>
      <c r="K28" s="6"/>
    </row>
    <row r="29" spans="1:12" x14ac:dyDescent="0.2">
      <c r="F29" s="33"/>
      <c r="J29" s="33"/>
    </row>
  </sheetData>
  <autoFilter ref="A3:N26" xr:uid="{00000000-0001-0000-0000-000000000000}"/>
  <pageMargins left="0.7" right="0.7" top="0.75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PIR Check</vt:lpstr>
      <vt:lpstr>'PIR Check'!Print_Area</vt:lpstr>
      <vt:lpstr>'PIR Check'!Print_Titles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Hexanutic</cp:lastModifiedBy>
  <cp:lastPrinted>2025-04-30T06:41:02Z</cp:lastPrinted>
  <dcterms:created xsi:type="dcterms:W3CDTF">2023-05-03T10:01:02Z</dcterms:created>
  <dcterms:modified xsi:type="dcterms:W3CDTF">2025-06-26T06:36:09Z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2024-07-04T11:25:56Z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45821b23-c85f-4809-b544-fa91f0345b09</vt:lpwstr>
  </property>
  <property fmtid="{D5CDD505-2E9C-101B-9397-08002B2CF9AE}" pid="7" name="MSIP_Label_defa4170-0d19-0005-0004-bc88714345d2_ActionId">
    <vt:lpwstr>c5a45bfe-93ac-43e1-a889-fe0d6c49b579</vt:lpwstr>
  </property>
  <property fmtid="{D5CDD505-2E9C-101B-9397-08002B2CF9AE}" pid="8" name="MSIP_Label_defa4170-0d19-0005-0004-bc88714345d2_ContentBits">
    <vt:lpwstr>0</vt:lpwstr>
  </property>
</Properties>
</file>